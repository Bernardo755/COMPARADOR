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prospera-my.sharepoint.com/personal/alfredo_gomez_becasbenitojuarez_gob_mx/Documents/Actas2021/Documentos/Trabajo/2026/"/>
    </mc:Choice>
  </mc:AlternateContent>
  <xr:revisionPtr revIDLastSave="0" documentId="8_{4413BD15-2D3A-5043-9EE6-59083B25D7AD}" xr6:coauthVersionLast="47" xr6:coauthVersionMax="47" xr10:uidLastSave="{00000000-0000-0000-0000-000000000000}"/>
  <bookViews>
    <workbookView xWindow="-120" yWindow="-120" windowWidth="29040" windowHeight="15840" xr2:uid="{BB4E4FBC-64C9-4CEB-9132-9331FA251669}"/>
  </bookViews>
  <sheets>
    <sheet name="Hoja2" sheetId="1" r:id="rId1"/>
  </sheets>
  <definedNames>
    <definedName name="_xlnm._FilterDatabase" localSheetId="0" hidden="1">Hoja2!$A$2:$O$29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29" i="1" l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29" i="1"/>
  <c r="N29" i="1"/>
  <c r="N28" i="1"/>
  <c r="M28" i="1"/>
  <c r="O28" i="1"/>
  <c r="M27" i="1"/>
  <c r="N27" i="1"/>
  <c r="M26" i="1"/>
  <c r="N26" i="1"/>
  <c r="M25" i="1"/>
  <c r="N25" i="1"/>
  <c r="N24" i="1"/>
  <c r="M24" i="1"/>
  <c r="O24" i="1"/>
  <c r="N23" i="1"/>
  <c r="M23" i="1"/>
  <c r="O23" i="1"/>
  <c r="M22" i="1"/>
  <c r="N22" i="1"/>
  <c r="M21" i="1"/>
  <c r="N21" i="1"/>
  <c r="N20" i="1"/>
  <c r="M20" i="1"/>
  <c r="O20" i="1"/>
  <c r="M19" i="1"/>
  <c r="N19" i="1"/>
  <c r="M18" i="1"/>
  <c r="N18" i="1"/>
  <c r="M17" i="1"/>
  <c r="N17" i="1"/>
  <c r="N16" i="1"/>
  <c r="M16" i="1"/>
  <c r="O16" i="1"/>
  <c r="M15" i="1"/>
  <c r="N15" i="1"/>
  <c r="N14" i="1"/>
  <c r="M14" i="1"/>
  <c r="O14" i="1"/>
  <c r="N13" i="1"/>
  <c r="M13" i="1"/>
  <c r="O13" i="1"/>
  <c r="N12" i="1"/>
  <c r="M12" i="1"/>
  <c r="O12" i="1"/>
  <c r="M11" i="1"/>
  <c r="N11" i="1"/>
  <c r="N10" i="1"/>
  <c r="M10" i="1"/>
  <c r="O10" i="1"/>
  <c r="M9" i="1"/>
  <c r="N9" i="1"/>
  <c r="M8" i="1"/>
  <c r="N8" i="1"/>
  <c r="N7" i="1"/>
  <c r="M7" i="1"/>
  <c r="N6" i="1"/>
  <c r="M6" i="1"/>
  <c r="O6" i="1"/>
  <c r="N5" i="1"/>
  <c r="M5" i="1"/>
  <c r="O5" i="1"/>
  <c r="M4" i="1"/>
  <c r="N4" i="1"/>
  <c r="M3" i="1"/>
  <c r="N3" i="1"/>
  <c r="O7" i="1"/>
  <c r="O29" i="1"/>
  <c r="O27" i="1"/>
  <c r="O26" i="1"/>
  <c r="O25" i="1"/>
  <c r="O22" i="1"/>
  <c r="O21" i="1"/>
  <c r="O19" i="1"/>
  <c r="O18" i="1"/>
  <c r="O17" i="1"/>
  <c r="O15" i="1"/>
  <c r="O11" i="1"/>
  <c r="O9" i="1"/>
  <c r="O8" i="1"/>
  <c r="O4" i="1"/>
  <c r="O3" i="1"/>
</calcChain>
</file>

<file path=xl/sharedStrings.xml><?xml version="1.0" encoding="utf-8"?>
<sst xmlns="http://schemas.openxmlformats.org/spreadsheetml/2006/main" count="45" uniqueCount="53">
  <si>
    <t>RURAL</t>
  </si>
  <si>
    <t>URBANA</t>
  </si>
  <si>
    <t>Total Cuenta de CCT / CLAVE SEDE</t>
  </si>
  <si>
    <t>Total Suma de COSTO UNITARIO</t>
  </si>
  <si>
    <t>dias</t>
  </si>
  <si>
    <t>Prod Rural</t>
  </si>
  <si>
    <t>Prod Urbana</t>
  </si>
  <si>
    <t>Prod Total</t>
  </si>
  <si>
    <t>CLAVE ESTADO</t>
  </si>
  <si>
    <t>NOMBRE ESTADO</t>
  </si>
  <si>
    <t>DÍAS OPERATIVOS</t>
  </si>
  <si>
    <t>CUPO/BRIGADA</t>
  </si>
  <si>
    <t>TOTAL-CUPOS</t>
  </si>
  <si>
    <t>Cuenta de CCT / CLAVE SEDE</t>
  </si>
  <si>
    <t>Suma de COSTO UNITARIO</t>
  </si>
  <si>
    <t>HIDALGO</t>
  </si>
  <si>
    <t xml:space="preserve">OBERVACIONES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</si>
</sst>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0" xfId="0" applyFont="1" applyFill="1"/>
  </cellXfs>
  <cellStyles count="2">
    <cellStyle name="Normal" xfId="0" builtinId="0"/>
    <cellStyle name="Porcentaje" xfId="1" builtinId="5"/>
  </cellStyles>
  <dxfs count="3"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44FAA-CD24-4252-8525-5BC90CEC658B}">
  <dimension ref="A1:P29"/>
  <sheetViews>
    <sheetView tabSelected="1" topLeftCell="J1" workbookViewId="0">
      <selection activeCell="Q8" sqref="Q8"/>
    </sheetView>
  </sheetViews>
  <sheetFormatPr defaultColWidth="10.76171875" defaultRowHeight="15" x14ac:dyDescent="0.2"/>
  <cols>
    <col min="1" max="1" width="13.5859375" bestFit="1" customWidth="1"/>
    <col min="2" max="2" width="31.87890625" bestFit="1" customWidth="1"/>
    <col min="3" max="3" width="24.75" bestFit="1" customWidth="1"/>
    <col min="4" max="4" width="14.390625" bestFit="1" customWidth="1"/>
    <col min="5" max="5" width="13.1796875" bestFit="1" customWidth="1"/>
    <col min="6" max="6" width="25.2890625" bestFit="1" customWidth="1"/>
    <col min="7" max="7" width="24.34765625" bestFit="1" customWidth="1"/>
    <col min="8" max="8" width="25.2890625" bestFit="1" customWidth="1"/>
    <col min="9" max="9" width="24.34765625" bestFit="1" customWidth="1"/>
    <col min="10" max="10" width="30.265625" bestFit="1" customWidth="1"/>
    <col min="11" max="11" width="29.32421875" bestFit="1" customWidth="1"/>
    <col min="16" max="16" width="20.58203125" customWidth="1"/>
  </cols>
  <sheetData>
    <row r="1" spans="1:16" x14ac:dyDescent="0.2">
      <c r="F1" s="5" t="s">
        <v>0</v>
      </c>
      <c r="G1" s="5"/>
      <c r="H1" s="5" t="s">
        <v>1</v>
      </c>
      <c r="I1" s="5"/>
      <c r="J1" s="5" t="s">
        <v>2</v>
      </c>
      <c r="K1" s="5" t="s">
        <v>3</v>
      </c>
      <c r="L1" s="5" t="s">
        <v>4</v>
      </c>
      <c r="M1" s="4" t="s">
        <v>5</v>
      </c>
      <c r="N1" s="4" t="s">
        <v>6</v>
      </c>
      <c r="O1" s="4" t="s">
        <v>7</v>
      </c>
    </row>
    <row r="2" spans="1:16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14</v>
      </c>
      <c r="J2" s="5"/>
      <c r="K2" s="5"/>
      <c r="L2" s="5"/>
      <c r="M2" s="4"/>
      <c r="N2" s="4"/>
      <c r="O2" s="4"/>
      <c r="P2" s="6" t="s">
        <v>16</v>
      </c>
    </row>
    <row r="3" spans="1:16" x14ac:dyDescent="0.2">
      <c r="A3">
        <v>13</v>
      </c>
      <c r="B3" t="s">
        <v>15</v>
      </c>
      <c r="C3" s="1">
        <v>46266</v>
      </c>
      <c r="D3">
        <v>132660</v>
      </c>
      <c r="E3">
        <v>1</v>
      </c>
      <c r="F3">
        <v>2</v>
      </c>
      <c r="G3">
        <v>0</v>
      </c>
      <c r="H3">
        <v>2</v>
      </c>
      <c r="I3">
        <v>253</v>
      </c>
      <c r="J3">
        <v>4</v>
      </c>
      <c r="K3">
        <v>253</v>
      </c>
      <c r="L3">
        <f t="shared" ref="L3" si="0">IF(LEN(C3)=5,1,(LEN(C3)+1)/9)</f>
        <v>1</v>
      </c>
      <c r="M3" s="2">
        <f t="shared" ref="M3" si="1">F3/5/E3/L3</f>
        <v>0.4</v>
      </c>
      <c r="N3" s="2">
        <f t="shared" ref="N3" si="2">(H3/10)/E3/L3</f>
        <v>0.2</v>
      </c>
      <c r="O3" s="3">
        <f t="shared" ref="O3" si="3">M3+N3</f>
        <v>0.60000000000000009</v>
      </c>
    </row>
    <row r="4" spans="1:16" x14ac:dyDescent="0.2">
      <c r="A4">
        <v>13</v>
      </c>
      <c r="B4" t="s">
        <v>15</v>
      </c>
      <c r="C4" s="1">
        <v>46266</v>
      </c>
      <c r="D4">
        <v>1321121911</v>
      </c>
      <c r="E4">
        <v>2</v>
      </c>
      <c r="F4">
        <v>7</v>
      </c>
      <c r="G4">
        <v>0</v>
      </c>
      <c r="H4">
        <v>1</v>
      </c>
      <c r="I4">
        <v>1354.24</v>
      </c>
      <c r="J4">
        <v>8</v>
      </c>
      <c r="K4">
        <v>1354.24</v>
      </c>
      <c r="L4">
        <f t="shared" ref="L4:L29" si="4">IF(LEN(C4)=5,1,(LEN(C4)+1)/9)</f>
        <v>1</v>
      </c>
      <c r="M4" s="2">
        <f t="shared" ref="M4:M29" si="5">F4/5/E4/L4</f>
        <v>0.7</v>
      </c>
      <c r="N4" s="2">
        <f t="shared" ref="N4:N29" si="6">(H4/10)/E4/L4</f>
        <v>0.05</v>
      </c>
      <c r="O4" s="3">
        <f t="shared" ref="O4:O29" si="7">M4+N4</f>
        <v>0.75</v>
      </c>
    </row>
    <row r="5" spans="1:16" x14ac:dyDescent="0.2">
      <c r="A5">
        <v>13</v>
      </c>
      <c r="B5" t="s">
        <v>15</v>
      </c>
      <c r="C5" s="1">
        <v>46266</v>
      </c>
      <c r="D5">
        <v>1321121912</v>
      </c>
      <c r="E5">
        <v>2</v>
      </c>
      <c r="F5">
        <v>5</v>
      </c>
      <c r="G5">
        <v>1071.4000000000001</v>
      </c>
      <c r="H5">
        <v>2</v>
      </c>
      <c r="I5">
        <v>0</v>
      </c>
      <c r="J5">
        <v>7</v>
      </c>
      <c r="K5">
        <v>1071.4000000000001</v>
      </c>
      <c r="L5">
        <f t="shared" si="4"/>
        <v>1</v>
      </c>
      <c r="M5" s="2">
        <f t="shared" si="5"/>
        <v>0.5</v>
      </c>
      <c r="N5" s="2">
        <f t="shared" si="6"/>
        <v>0.1</v>
      </c>
      <c r="O5" s="3">
        <f t="shared" si="7"/>
        <v>0.6</v>
      </c>
    </row>
    <row r="6" spans="1:16" x14ac:dyDescent="0.2">
      <c r="A6">
        <v>13</v>
      </c>
      <c r="B6" t="s">
        <v>15</v>
      </c>
      <c r="C6" s="1">
        <v>46266</v>
      </c>
      <c r="D6">
        <v>1321121913</v>
      </c>
      <c r="E6">
        <v>2</v>
      </c>
      <c r="F6">
        <v>6</v>
      </c>
      <c r="G6">
        <v>301.7</v>
      </c>
      <c r="H6">
        <v>1</v>
      </c>
      <c r="I6">
        <v>0</v>
      </c>
      <c r="J6">
        <v>7</v>
      </c>
      <c r="K6">
        <v>301.7</v>
      </c>
      <c r="L6">
        <f t="shared" si="4"/>
        <v>1</v>
      </c>
      <c r="M6" s="2">
        <f t="shared" si="5"/>
        <v>0.6</v>
      </c>
      <c r="N6" s="2">
        <f t="shared" si="6"/>
        <v>0.05</v>
      </c>
      <c r="O6" s="3">
        <f t="shared" si="7"/>
        <v>0.65</v>
      </c>
    </row>
    <row r="7" spans="1:16" x14ac:dyDescent="0.2">
      <c r="A7">
        <v>13</v>
      </c>
      <c r="B7" t="s">
        <v>15</v>
      </c>
      <c r="C7" s="1">
        <v>46266</v>
      </c>
      <c r="D7">
        <v>1321121914</v>
      </c>
      <c r="E7">
        <v>2</v>
      </c>
      <c r="F7">
        <v>7</v>
      </c>
      <c r="G7">
        <v>1307.0999999999999</v>
      </c>
      <c r="J7">
        <v>7</v>
      </c>
      <c r="K7">
        <v>1307.0999999999999</v>
      </c>
      <c r="L7">
        <f t="shared" si="4"/>
        <v>1</v>
      </c>
      <c r="M7" s="2">
        <f t="shared" si="5"/>
        <v>0.7</v>
      </c>
      <c r="N7" s="2">
        <f t="shared" si="6"/>
        <v>0</v>
      </c>
      <c r="O7" s="3">
        <f t="shared" si="7"/>
        <v>0.7</v>
      </c>
    </row>
    <row r="8" spans="1:16" x14ac:dyDescent="0.2">
      <c r="A8">
        <v>13</v>
      </c>
      <c r="B8" t="s">
        <v>15</v>
      </c>
      <c r="C8" s="1">
        <v>46266</v>
      </c>
      <c r="D8">
        <v>1321122943</v>
      </c>
      <c r="E8">
        <v>2</v>
      </c>
      <c r="F8">
        <v>4</v>
      </c>
      <c r="G8">
        <v>0</v>
      </c>
      <c r="H8">
        <v>6</v>
      </c>
      <c r="I8">
        <v>1052.8</v>
      </c>
      <c r="J8">
        <v>10</v>
      </c>
      <c r="K8">
        <v>1052.8</v>
      </c>
      <c r="L8">
        <f t="shared" si="4"/>
        <v>1</v>
      </c>
      <c r="M8" s="2">
        <f t="shared" si="5"/>
        <v>0.4</v>
      </c>
      <c r="N8" s="2">
        <f t="shared" si="6"/>
        <v>0.3</v>
      </c>
      <c r="O8" s="3">
        <f t="shared" si="7"/>
        <v>0.7</v>
      </c>
    </row>
    <row r="9" spans="1:16" x14ac:dyDescent="0.2">
      <c r="A9">
        <v>13</v>
      </c>
      <c r="B9" t="s">
        <v>15</v>
      </c>
      <c r="C9" s="1">
        <v>46267</v>
      </c>
      <c r="D9">
        <v>132634</v>
      </c>
      <c r="E9">
        <v>1</v>
      </c>
      <c r="F9">
        <v>2</v>
      </c>
      <c r="G9">
        <v>374.4</v>
      </c>
      <c r="H9">
        <v>3</v>
      </c>
      <c r="I9">
        <v>0</v>
      </c>
      <c r="J9">
        <v>5</v>
      </c>
      <c r="K9">
        <v>374.4</v>
      </c>
      <c r="L9">
        <f t="shared" si="4"/>
        <v>1</v>
      </c>
      <c r="M9" s="2">
        <f t="shared" si="5"/>
        <v>0.4</v>
      </c>
      <c r="N9" s="2">
        <f t="shared" si="6"/>
        <v>0.3</v>
      </c>
      <c r="O9" s="3">
        <f t="shared" si="7"/>
        <v>0.7</v>
      </c>
    </row>
    <row r="10" spans="1:16" x14ac:dyDescent="0.2">
      <c r="A10">
        <v>13</v>
      </c>
      <c r="B10" t="s">
        <v>15</v>
      </c>
      <c r="C10" s="1">
        <v>46267</v>
      </c>
      <c r="D10">
        <v>132773</v>
      </c>
      <c r="E10">
        <v>1</v>
      </c>
      <c r="F10">
        <v>2</v>
      </c>
      <c r="G10">
        <v>0</v>
      </c>
      <c r="H10">
        <v>3</v>
      </c>
      <c r="I10">
        <v>260.67</v>
      </c>
      <c r="J10">
        <v>5</v>
      </c>
      <c r="K10">
        <v>260.67</v>
      </c>
      <c r="L10">
        <f t="shared" si="4"/>
        <v>1</v>
      </c>
      <c r="M10" s="2">
        <f t="shared" si="5"/>
        <v>0.4</v>
      </c>
      <c r="N10" s="2">
        <f t="shared" si="6"/>
        <v>0.3</v>
      </c>
      <c r="O10" s="3">
        <f t="shared" si="7"/>
        <v>0.7</v>
      </c>
    </row>
    <row r="11" spans="1:16" x14ac:dyDescent="0.2">
      <c r="A11">
        <v>13</v>
      </c>
      <c r="B11" t="s">
        <v>15</v>
      </c>
      <c r="C11" s="1">
        <v>46267</v>
      </c>
      <c r="D11">
        <v>132792</v>
      </c>
      <c r="E11">
        <v>1</v>
      </c>
      <c r="F11">
        <v>2</v>
      </c>
      <c r="G11">
        <v>300</v>
      </c>
      <c r="H11">
        <v>1</v>
      </c>
      <c r="I11">
        <v>0</v>
      </c>
      <c r="J11">
        <v>3</v>
      </c>
      <c r="K11">
        <v>300</v>
      </c>
      <c r="L11">
        <f t="shared" si="4"/>
        <v>1</v>
      </c>
      <c r="M11" s="2">
        <f t="shared" si="5"/>
        <v>0.4</v>
      </c>
      <c r="N11" s="2">
        <f t="shared" si="6"/>
        <v>0.1</v>
      </c>
      <c r="O11" s="3">
        <f t="shared" si="7"/>
        <v>0.5</v>
      </c>
    </row>
    <row r="12" spans="1:16" x14ac:dyDescent="0.2">
      <c r="A12">
        <v>13</v>
      </c>
      <c r="B12" t="s">
        <v>15</v>
      </c>
      <c r="C12" s="1">
        <v>46267</v>
      </c>
      <c r="D12">
        <v>1321121911</v>
      </c>
      <c r="E12">
        <v>2</v>
      </c>
      <c r="F12">
        <v>5</v>
      </c>
      <c r="G12">
        <v>0</v>
      </c>
      <c r="H12">
        <v>1</v>
      </c>
      <c r="I12">
        <v>1761.6</v>
      </c>
      <c r="J12">
        <v>6</v>
      </c>
      <c r="K12">
        <v>1761.6</v>
      </c>
      <c r="L12">
        <f t="shared" si="4"/>
        <v>1</v>
      </c>
      <c r="M12" s="2">
        <f t="shared" si="5"/>
        <v>0.5</v>
      </c>
      <c r="N12" s="2">
        <f t="shared" si="6"/>
        <v>0.05</v>
      </c>
      <c r="O12" s="3">
        <f t="shared" si="7"/>
        <v>0.55000000000000004</v>
      </c>
    </row>
    <row r="13" spans="1:16" x14ac:dyDescent="0.2">
      <c r="A13">
        <v>13</v>
      </c>
      <c r="B13" t="s">
        <v>15</v>
      </c>
      <c r="C13" s="1">
        <v>46267</v>
      </c>
      <c r="D13">
        <v>1321121912</v>
      </c>
      <c r="E13">
        <v>2</v>
      </c>
      <c r="F13">
        <v>2</v>
      </c>
      <c r="G13">
        <v>926.4</v>
      </c>
      <c r="H13">
        <v>3</v>
      </c>
      <c r="I13">
        <v>0</v>
      </c>
      <c r="J13">
        <v>5</v>
      </c>
      <c r="K13">
        <v>926.4</v>
      </c>
      <c r="L13">
        <f t="shared" si="4"/>
        <v>1</v>
      </c>
      <c r="M13" s="2">
        <f t="shared" si="5"/>
        <v>0.2</v>
      </c>
      <c r="N13" s="2">
        <f t="shared" si="6"/>
        <v>0.15</v>
      </c>
      <c r="O13" s="3">
        <f t="shared" si="7"/>
        <v>0.35</v>
      </c>
    </row>
    <row r="14" spans="1:16" x14ac:dyDescent="0.2">
      <c r="A14">
        <v>13</v>
      </c>
      <c r="B14" t="s">
        <v>15</v>
      </c>
      <c r="C14" s="1">
        <v>46267</v>
      </c>
      <c r="D14">
        <v>1321121913</v>
      </c>
      <c r="E14">
        <v>2</v>
      </c>
      <c r="F14">
        <v>6</v>
      </c>
      <c r="G14">
        <v>1032</v>
      </c>
      <c r="J14">
        <v>6</v>
      </c>
      <c r="K14">
        <v>1032</v>
      </c>
      <c r="L14">
        <f t="shared" si="4"/>
        <v>1</v>
      </c>
      <c r="M14" s="2">
        <f t="shared" si="5"/>
        <v>0.6</v>
      </c>
      <c r="N14" s="2">
        <f t="shared" si="6"/>
        <v>0</v>
      </c>
      <c r="O14" s="3">
        <f t="shared" si="7"/>
        <v>0.6</v>
      </c>
    </row>
    <row r="15" spans="1:16" x14ac:dyDescent="0.2">
      <c r="A15">
        <v>13</v>
      </c>
      <c r="B15" t="s">
        <v>15</v>
      </c>
      <c r="C15" s="1">
        <v>46267</v>
      </c>
      <c r="D15">
        <v>1321121914</v>
      </c>
      <c r="E15">
        <v>2</v>
      </c>
      <c r="F15">
        <v>4</v>
      </c>
      <c r="G15">
        <v>1778.4</v>
      </c>
      <c r="J15">
        <v>4</v>
      </c>
      <c r="K15">
        <v>1778.4</v>
      </c>
      <c r="L15">
        <f t="shared" si="4"/>
        <v>1</v>
      </c>
      <c r="M15" s="2">
        <f t="shared" si="5"/>
        <v>0.4</v>
      </c>
      <c r="N15" s="2">
        <f t="shared" si="6"/>
        <v>0</v>
      </c>
      <c r="O15" s="3">
        <f t="shared" si="7"/>
        <v>0.4</v>
      </c>
    </row>
    <row r="16" spans="1:16" x14ac:dyDescent="0.2">
      <c r="A16">
        <v>13</v>
      </c>
      <c r="B16" t="s">
        <v>15</v>
      </c>
      <c r="C16" s="1">
        <v>46267</v>
      </c>
      <c r="D16">
        <v>1321121915</v>
      </c>
      <c r="E16">
        <v>2</v>
      </c>
      <c r="F16">
        <v>7</v>
      </c>
      <c r="G16">
        <v>1591.2</v>
      </c>
      <c r="J16">
        <v>7</v>
      </c>
      <c r="K16">
        <v>1591.2</v>
      </c>
      <c r="L16">
        <f t="shared" si="4"/>
        <v>1</v>
      </c>
      <c r="M16" s="2">
        <f t="shared" si="5"/>
        <v>0.7</v>
      </c>
      <c r="N16" s="2">
        <f t="shared" si="6"/>
        <v>0</v>
      </c>
      <c r="O16" s="3">
        <f t="shared" si="7"/>
        <v>0.7</v>
      </c>
    </row>
    <row r="17" spans="1:15" x14ac:dyDescent="0.2">
      <c r="A17">
        <v>13</v>
      </c>
      <c r="B17" t="s">
        <v>15</v>
      </c>
      <c r="C17" s="1">
        <v>46267</v>
      </c>
      <c r="D17">
        <v>1321122157</v>
      </c>
      <c r="E17">
        <v>2</v>
      </c>
      <c r="F17">
        <v>6</v>
      </c>
      <c r="G17">
        <v>2088</v>
      </c>
      <c r="J17">
        <v>6</v>
      </c>
      <c r="K17">
        <v>2088</v>
      </c>
      <c r="L17">
        <f t="shared" si="4"/>
        <v>1</v>
      </c>
      <c r="M17" s="2">
        <f t="shared" si="5"/>
        <v>0.6</v>
      </c>
      <c r="N17" s="2">
        <f t="shared" si="6"/>
        <v>0</v>
      </c>
      <c r="O17" s="3">
        <f t="shared" si="7"/>
        <v>0.6</v>
      </c>
    </row>
    <row r="18" spans="1:15" x14ac:dyDescent="0.2">
      <c r="A18">
        <v>13</v>
      </c>
      <c r="B18" t="s">
        <v>15</v>
      </c>
      <c r="C18" s="1">
        <v>46267</v>
      </c>
      <c r="D18">
        <v>1321122158</v>
      </c>
      <c r="E18">
        <v>2</v>
      </c>
      <c r="F18">
        <v>4</v>
      </c>
      <c r="G18">
        <v>1980</v>
      </c>
      <c r="H18">
        <v>1</v>
      </c>
      <c r="I18">
        <v>0</v>
      </c>
      <c r="J18">
        <v>5</v>
      </c>
      <c r="K18">
        <v>1980</v>
      </c>
      <c r="L18">
        <f t="shared" si="4"/>
        <v>1</v>
      </c>
      <c r="M18" s="2">
        <f t="shared" si="5"/>
        <v>0.4</v>
      </c>
      <c r="N18" s="2">
        <f t="shared" si="6"/>
        <v>0.05</v>
      </c>
      <c r="O18" s="3">
        <f t="shared" si="7"/>
        <v>0.45</v>
      </c>
    </row>
    <row r="19" spans="1:15" x14ac:dyDescent="0.2">
      <c r="A19">
        <v>13</v>
      </c>
      <c r="B19" t="s">
        <v>15</v>
      </c>
      <c r="C19" s="1">
        <v>46267</v>
      </c>
      <c r="D19">
        <v>1321122159</v>
      </c>
      <c r="E19">
        <v>2</v>
      </c>
      <c r="F19">
        <v>5</v>
      </c>
      <c r="G19">
        <v>2160</v>
      </c>
      <c r="J19">
        <v>5</v>
      </c>
      <c r="K19">
        <v>2160</v>
      </c>
      <c r="L19">
        <f t="shared" si="4"/>
        <v>1</v>
      </c>
      <c r="M19" s="2">
        <f t="shared" si="5"/>
        <v>0.5</v>
      </c>
      <c r="N19" s="2">
        <f t="shared" si="6"/>
        <v>0</v>
      </c>
      <c r="O19" s="3">
        <f t="shared" si="7"/>
        <v>0.5</v>
      </c>
    </row>
    <row r="20" spans="1:15" x14ac:dyDescent="0.2">
      <c r="A20">
        <v>13</v>
      </c>
      <c r="B20" t="s">
        <v>15</v>
      </c>
      <c r="C20" s="1">
        <v>46267</v>
      </c>
      <c r="D20">
        <v>1321122161</v>
      </c>
      <c r="E20">
        <v>2</v>
      </c>
      <c r="F20">
        <v>4</v>
      </c>
      <c r="G20">
        <v>0</v>
      </c>
      <c r="H20">
        <v>1</v>
      </c>
      <c r="I20">
        <v>2488.0100000000002</v>
      </c>
      <c r="J20">
        <v>5</v>
      </c>
      <c r="K20">
        <v>2488.0100000000002</v>
      </c>
      <c r="L20">
        <f t="shared" si="4"/>
        <v>1</v>
      </c>
      <c r="M20" s="2">
        <f t="shared" si="5"/>
        <v>0.4</v>
      </c>
      <c r="N20" s="2">
        <f t="shared" si="6"/>
        <v>0.05</v>
      </c>
      <c r="O20" s="3">
        <f t="shared" si="7"/>
        <v>0.45</v>
      </c>
    </row>
    <row r="21" spans="1:15" x14ac:dyDescent="0.2">
      <c r="A21">
        <v>13</v>
      </c>
      <c r="B21" t="s">
        <v>15</v>
      </c>
      <c r="C21" s="1">
        <v>46268</v>
      </c>
      <c r="D21">
        <v>132634</v>
      </c>
      <c r="E21">
        <v>1</v>
      </c>
      <c r="F21">
        <v>3</v>
      </c>
      <c r="G21">
        <v>338.4</v>
      </c>
      <c r="H21">
        <v>2</v>
      </c>
      <c r="I21">
        <v>0</v>
      </c>
      <c r="J21">
        <v>5</v>
      </c>
      <c r="K21">
        <v>338.4</v>
      </c>
      <c r="L21">
        <f t="shared" si="4"/>
        <v>1</v>
      </c>
      <c r="M21" s="2">
        <f t="shared" si="5"/>
        <v>0.6</v>
      </c>
      <c r="N21" s="2">
        <f t="shared" si="6"/>
        <v>0.2</v>
      </c>
      <c r="O21" s="3">
        <f t="shared" si="7"/>
        <v>0.8</v>
      </c>
    </row>
    <row r="22" spans="1:15" x14ac:dyDescent="0.2">
      <c r="A22">
        <v>13</v>
      </c>
      <c r="B22" t="s">
        <v>15</v>
      </c>
      <c r="C22" s="1">
        <v>46269</v>
      </c>
      <c r="D22">
        <v>132469</v>
      </c>
      <c r="E22">
        <v>1</v>
      </c>
      <c r="F22">
        <v>3</v>
      </c>
      <c r="G22">
        <v>551.20000000000005</v>
      </c>
      <c r="H22">
        <v>1</v>
      </c>
      <c r="I22">
        <v>0</v>
      </c>
      <c r="J22">
        <v>4</v>
      </c>
      <c r="K22">
        <v>551.20000000000005</v>
      </c>
      <c r="L22">
        <f t="shared" si="4"/>
        <v>1</v>
      </c>
      <c r="M22" s="2">
        <f t="shared" si="5"/>
        <v>0.6</v>
      </c>
      <c r="N22" s="2">
        <f t="shared" si="6"/>
        <v>0.1</v>
      </c>
      <c r="O22" s="3">
        <f t="shared" si="7"/>
        <v>0.7</v>
      </c>
    </row>
    <row r="23" spans="1:15" x14ac:dyDescent="0.2">
      <c r="A23">
        <v>13</v>
      </c>
      <c r="B23" t="s">
        <v>15</v>
      </c>
      <c r="C23" s="1">
        <v>46269</v>
      </c>
      <c r="D23">
        <v>132634</v>
      </c>
      <c r="E23">
        <v>1</v>
      </c>
      <c r="F23">
        <v>4</v>
      </c>
      <c r="G23">
        <v>756</v>
      </c>
      <c r="J23">
        <v>4</v>
      </c>
      <c r="K23">
        <v>756</v>
      </c>
      <c r="L23">
        <f t="shared" si="4"/>
        <v>1</v>
      </c>
      <c r="M23" s="2">
        <f t="shared" si="5"/>
        <v>0.8</v>
      </c>
      <c r="N23" s="2">
        <f t="shared" si="6"/>
        <v>0</v>
      </c>
      <c r="O23" s="3">
        <f t="shared" si="7"/>
        <v>0.8</v>
      </c>
    </row>
    <row r="24" spans="1:15" x14ac:dyDescent="0.2">
      <c r="A24">
        <v>13</v>
      </c>
      <c r="B24" t="s">
        <v>15</v>
      </c>
      <c r="C24" s="1">
        <v>46272</v>
      </c>
      <c r="D24">
        <v>132667</v>
      </c>
      <c r="E24">
        <v>1</v>
      </c>
      <c r="F24">
        <v>1</v>
      </c>
      <c r="G24">
        <v>920.8</v>
      </c>
      <c r="J24">
        <v>1</v>
      </c>
      <c r="K24">
        <v>920.8</v>
      </c>
      <c r="L24">
        <f t="shared" si="4"/>
        <v>1</v>
      </c>
      <c r="M24" s="2">
        <f t="shared" si="5"/>
        <v>0.2</v>
      </c>
      <c r="N24" s="2">
        <f t="shared" si="6"/>
        <v>0</v>
      </c>
      <c r="O24" s="3">
        <f t="shared" si="7"/>
        <v>0.2</v>
      </c>
    </row>
    <row r="25" spans="1:15" x14ac:dyDescent="0.2">
      <c r="A25">
        <v>13</v>
      </c>
      <c r="B25" t="s">
        <v>15</v>
      </c>
      <c r="C25" s="1">
        <v>46272</v>
      </c>
      <c r="D25">
        <v>1321115443</v>
      </c>
      <c r="E25">
        <v>2</v>
      </c>
      <c r="F25">
        <v>6</v>
      </c>
      <c r="G25">
        <v>1171.1999999999998</v>
      </c>
      <c r="J25">
        <v>6</v>
      </c>
      <c r="K25">
        <v>1171.1999999999998</v>
      </c>
      <c r="L25">
        <f t="shared" si="4"/>
        <v>1</v>
      </c>
      <c r="M25" s="2">
        <f t="shared" si="5"/>
        <v>0.6</v>
      </c>
      <c r="N25" s="2">
        <f t="shared" si="6"/>
        <v>0</v>
      </c>
      <c r="O25" s="3">
        <f t="shared" si="7"/>
        <v>0.6</v>
      </c>
    </row>
    <row r="26" spans="1:15" x14ac:dyDescent="0.2">
      <c r="A26">
        <v>13</v>
      </c>
      <c r="B26" t="s">
        <v>15</v>
      </c>
      <c r="C26" s="1">
        <v>46272</v>
      </c>
      <c r="D26">
        <v>1321121606</v>
      </c>
      <c r="E26">
        <v>2</v>
      </c>
      <c r="F26">
        <v>8</v>
      </c>
      <c r="G26">
        <v>1605.6</v>
      </c>
      <c r="J26">
        <v>8</v>
      </c>
      <c r="K26">
        <v>1605.6</v>
      </c>
      <c r="L26">
        <f t="shared" si="4"/>
        <v>1</v>
      </c>
      <c r="M26" s="2">
        <f t="shared" si="5"/>
        <v>0.8</v>
      </c>
      <c r="N26" s="2">
        <f t="shared" si="6"/>
        <v>0</v>
      </c>
      <c r="O26" s="3">
        <f t="shared" si="7"/>
        <v>0.8</v>
      </c>
    </row>
    <row r="27" spans="1:15" x14ac:dyDescent="0.2">
      <c r="A27">
        <v>13</v>
      </c>
      <c r="B27" t="s">
        <v>15</v>
      </c>
      <c r="C27" s="1">
        <v>46273</v>
      </c>
      <c r="D27">
        <v>132667</v>
      </c>
      <c r="E27">
        <v>1</v>
      </c>
      <c r="F27">
        <v>3</v>
      </c>
      <c r="G27">
        <v>455.20000000000005</v>
      </c>
      <c r="H27">
        <v>1</v>
      </c>
      <c r="I27">
        <v>70.400000000000006</v>
      </c>
      <c r="J27">
        <v>4</v>
      </c>
      <c r="K27">
        <v>525.6</v>
      </c>
      <c r="L27">
        <f t="shared" si="4"/>
        <v>1</v>
      </c>
      <c r="M27" s="2">
        <f t="shared" si="5"/>
        <v>0.6</v>
      </c>
      <c r="N27" s="2">
        <f t="shared" si="6"/>
        <v>0.1</v>
      </c>
      <c r="O27" s="3">
        <f t="shared" si="7"/>
        <v>0.7</v>
      </c>
    </row>
    <row r="28" spans="1:15" x14ac:dyDescent="0.2">
      <c r="A28">
        <v>13</v>
      </c>
      <c r="B28" t="s">
        <v>15</v>
      </c>
      <c r="C28" s="1">
        <v>46273</v>
      </c>
      <c r="D28">
        <v>132799</v>
      </c>
      <c r="E28">
        <v>1</v>
      </c>
      <c r="F28">
        <v>4</v>
      </c>
      <c r="G28">
        <v>266.39999999999998</v>
      </c>
      <c r="J28">
        <v>4</v>
      </c>
      <c r="K28">
        <v>266.39999999999998</v>
      </c>
      <c r="L28">
        <f t="shared" si="4"/>
        <v>1</v>
      </c>
      <c r="M28" s="2">
        <f t="shared" si="5"/>
        <v>0.8</v>
      </c>
      <c r="N28" s="2">
        <f t="shared" si="6"/>
        <v>0</v>
      </c>
      <c r="O28" s="3">
        <f t="shared" si="7"/>
        <v>0.8</v>
      </c>
    </row>
    <row r="29" spans="1:15" x14ac:dyDescent="0.2">
      <c r="A29">
        <v>13</v>
      </c>
      <c r="B29" t="s">
        <v>15</v>
      </c>
      <c r="C29" s="1">
        <v>46273</v>
      </c>
      <c r="D29">
        <v>1321120531</v>
      </c>
      <c r="E29">
        <v>2</v>
      </c>
      <c r="F29">
        <v>4</v>
      </c>
      <c r="G29">
        <v>1099.2</v>
      </c>
      <c r="H29">
        <v>1</v>
      </c>
      <c r="I29">
        <v>12</v>
      </c>
      <c r="J29">
        <v>5</v>
      </c>
      <c r="K29">
        <v>1111.2</v>
      </c>
      <c r="L29">
        <f t="shared" si="4"/>
        <v>1</v>
      </c>
      <c r="M29" s="2">
        <f t="shared" si="5"/>
        <v>0.4</v>
      </c>
      <c r="N29" s="2">
        <f t="shared" si="6"/>
        <v>0.05</v>
      </c>
      <c r="O29" s="3">
        <f t="shared" si="7"/>
        <v>0.45</v>
      </c>
    </row>
  </sheetData>
  <autoFilter ref="A2:O29" xr:uid="{ACA44FAA-CD24-4252-8525-5BC90CEC658B}"/>
  <mergeCells count="8">
    <mergeCell ref="N1:N2"/>
    <mergeCell ref="O1:O2"/>
    <mergeCell ref="F1:G1"/>
    <mergeCell ref="H1:I1"/>
    <mergeCell ref="J1:J2"/>
    <mergeCell ref="K1:K2"/>
    <mergeCell ref="L1:L2"/>
    <mergeCell ref="M1:M2"/>
  </mergeCells>
  <conditionalFormatting sqref="O3:O29">
    <cfRule type="cellIs" dxfId="2" priority="1" operator="lessThan">
      <formula>0.6</formula>
    </cfRule>
    <cfRule type="cellIs" dxfId="1" priority="2" operator="between">
      <formula>0.6</formula>
      <formula>0.8</formula>
    </cfRule>
    <cfRule type="cellIs" dxfId="0" priority="3" operator="greaterThan"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Rafael Gomez Vallejo</dc:creator>
  <cp:lastModifiedBy>Alfredo Rafael Gomez Vallejo</cp:lastModifiedBy>
  <dcterms:created xsi:type="dcterms:W3CDTF">2026-08-13T15:44:23Z</dcterms:created>
  <dcterms:modified xsi:type="dcterms:W3CDTF">2026-08-13T15:59:29Z</dcterms:modified>
</cp:coreProperties>
</file>